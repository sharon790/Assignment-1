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D7E7153-C0E3-4873-ACA1-0B0E79BF272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N11" i="3"/>
  <c r="N10" i="3"/>
  <c r="N8" i="3"/>
  <c r="N7" i="3"/>
  <c r="N5" i="3"/>
  <c r="N4" i="3"/>
  <c r="N3" i="3"/>
</calcChain>
</file>

<file path=xl/sharedStrings.xml><?xml version="1.0" encoding="utf-8"?>
<sst xmlns="http://schemas.openxmlformats.org/spreadsheetml/2006/main" count="315" uniqueCount="124">
  <si>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</si>
  <si>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</si>
  <si>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</si>
  <si>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</si>
  <si>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</si>
  <si>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</si>
  <si>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</si>
  <si>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</si>
  <si>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</si>
  <si>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</si>
  <si>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</si>
  <si>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</si>
  <si>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</si>
  <si>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</si>
  <si>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</si>
  <si>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</si>
  <si>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</si>
  <si>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</si>
  <si>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</si>
  <si>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</si>
  <si>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</si>
  <si>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</si>
  <si>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</si>
  <si>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</si>
  <si>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</si>
  <si>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</si>
  <si>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</si>
  <si>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</si>
  <si>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</si>
  <si>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</si>
  <si>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</si>
  <si>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</si>
  <si>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</si>
  <si>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</si>
  <si>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</si>
  <si>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</si>
  <si>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</si>
  <si>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</si>
  <si>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</si>
  <si>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</si>
  <si>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</si>
  <si>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</si>
  <si>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</si>
  <si>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</si>
  <si>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</si>
  <si>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</si>
  <si>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</si>
  <si>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</si>
  <si>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</si>
  <si>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</si>
  <si>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</si>
  <si>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</si>
  <si>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</si>
  <si>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</si>
  <si>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</si>
  <si>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</si>
  <si>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</si>
  <si>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</si>
  <si>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</si>
  <si>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</si>
  <si>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</si>
  <si>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</si>
  <si>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</si>
  <si>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</si>
  <si>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</si>
  <si>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</si>
  <si>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</si>
  <si>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</si>
  <si>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</si>
  <si>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</si>
  <si>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</si>
  <si>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</si>
  <si>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</si>
  <si>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</si>
  <si>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</si>
  <si>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</si>
  <si>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</si>
  <si>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</si>
  <si>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</si>
  <si>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</si>
  <si>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</si>
  <si>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</si>
  <si>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</si>
  <si>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</si>
  <si>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</si>
  <si>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</si>
  <si>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</si>
  <si>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</si>
  <si>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</si>
  <si>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</si>
  <si>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</si>
  <si>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</si>
  <si>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</si>
  <si>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</si>
  <si>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</si>
  <si>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</si>
  <si>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</si>
  <si>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</si>
  <si>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</si>
  <si>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</si>
  <si>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</si>
  <si>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</si>
  <si>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</si>
  <si>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</si>
  <si>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</si>
  <si>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</si>
  <si>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</si>
  <si>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</si>
  <si>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</si>
  <si>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</si>
  <si>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</t>
  </si>
  <si>
    <t>NO</t>
  </si>
  <si>
    <t>ANSWERS</t>
  </si>
  <si>
    <t>SUM</t>
  </si>
  <si>
    <t>COUNT</t>
  </si>
  <si>
    <t>AVERAGE</t>
  </si>
  <si>
    <t>MIN</t>
  </si>
  <si>
    <t>MAX</t>
  </si>
  <si>
    <t>Price Range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</si>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</sst>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/>
    <xf numFmtId="0" fontId="9" fillId="2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06502-7032-4504-8C0B-3ECFC0F133C1}" name="Table1" displayName="Table1" ref="A1:J35" totalsRowShown="0" headerRowDxfId="2" dataDxfId="3">
  <autoFilter ref="A1:J35" xr:uid="{61206502-7032-4504-8C0B-3ECFC0F133C1}"/>
  <tableColumns count="10">
    <tableColumn id="1" xr3:uid="{FB9D2172-6125-48F7-8185-AC18BB0BE838}" name="Product ID" dataDxfId="11"/>
    <tableColumn id="2" xr3:uid="{22D39A59-7A4E-4746-BF89-6FB364F3B3F1}" name="Product Name" dataDxfId="10"/>
    <tableColumn id="3" xr3:uid="{2ABE2B35-0D2F-457C-9D81-D8436380B940}" name="Brand Name" dataDxfId="9"/>
    <tableColumn id="4" xr3:uid="{7CFBFA50-4F5B-40D1-8903-966DC2E2D360}" name="Price ($)" dataDxfId="8"/>
    <tableColumn id="5" xr3:uid="{063ECBE5-0C8C-4EAA-A7BD-80CD2B427149}" name="Price Range" dataDxfId="7">
      <calculatedColumnFormula>IF(Solutions!D2&gt;=500,"High price","Standard price")</calculatedColumnFormula>
    </tableColumn>
    <tableColumn id="6" xr3:uid="{41B1393B-84DC-4A29-A349-221B273552B3}" name="Quantity" dataDxfId="6"/>
    <tableColumn id="10" xr3:uid="{9DAB1399-6ADD-4939-B765-E225597447C7}" name="Category" dataDxfId="0"/>
    <tableColumn id="7" xr3:uid="{050E812C-4AEA-497E-94B2-791ECF8FA922}" name="Day" dataDxfId="1">
      <calculatedColumnFormula>LEFT(A2,2)</calculatedColumnFormula>
    </tableColumn>
    <tableColumn id="8" xr3:uid="{3D6F78BA-F83C-4038-B990-113EC094C64A}" name="Country Code" dataDxfId="5">
      <calculatedColumnFormula>RIGHT(A2,2)</calculatedColumnFormula>
    </tableColumn>
    <tableColumn id="9" xr3:uid="{70983D8F-F43F-460E-9E90-44D1C157F207}" name="Month" dataDxfId="4">
      <calculatedColumnFormula>MID(A2,4,3)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A6" sqref="A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C463-AD91-4914-9D8B-A509D6A4D419}">
  <dimension ref="A1:N35"/>
  <sheetViews>
    <sheetView tabSelected="1" zoomScale="93" workbookViewId="0">
      <selection activeCell="M27" sqref="M27"/>
    </sheetView>
  </sheetViews>
  <sheetFormatPr defaultRowHeight="13.2" x14ac:dyDescent="0.25"/>
  <cols>
    <col min="1" max="1" width="12.5546875" customWidth="1"/>
    <col min="2" max="2" width="15.88671875" customWidth="1"/>
    <col min="3" max="3" width="14.21875" customWidth="1"/>
    <col min="4" max="4" width="10.21875" customWidth="1"/>
    <col min="5" max="5" width="14" customWidth="1"/>
    <col min="6" max="6" width="10.5546875" customWidth="1"/>
    <col min="7" max="7" width="14.21875" bestFit="1" customWidth="1"/>
    <col min="8" max="8" width="15.6640625" customWidth="1"/>
    <col min="9" max="9" width="13.77734375" customWidth="1"/>
    <col min="10" max="10" width="11.21875" customWidth="1"/>
    <col min="13" max="13" width="11.44140625" bestFit="1" customWidth="1"/>
    <col min="14" max="14" width="12.88671875" bestFit="1" customWidth="1"/>
  </cols>
  <sheetData>
    <row r="1" spans="1:14" x14ac:dyDescent="0.25">
      <c r="A1" s="12" t="s">
        <v>17</v>
      </c>
      <c r="B1" s="12" t="s">
        <v>18</v>
      </c>
      <c r="C1" s="5" t="s">
        <v>19</v>
      </c>
      <c r="D1" s="5" t="s">
        <v>20</v>
      </c>
      <c r="E1" s="12" t="s">
        <v>118</v>
      </c>
      <c r="F1" s="5" t="s">
        <v>21</v>
      </c>
      <c r="G1" s="5" t="s">
        <v>22</v>
      </c>
      <c r="H1" s="12" t="s">
        <v>121</v>
      </c>
      <c r="I1" s="12" t="s">
        <v>122</v>
      </c>
      <c r="J1" s="12" t="s">
        <v>123</v>
      </c>
    </row>
    <row r="2" spans="1:14" ht="13.8" x14ac:dyDescent="0.25">
      <c r="A2" s="7" t="s">
        <v>23</v>
      </c>
      <c r="B2" s="7" t="s">
        <v>24</v>
      </c>
      <c r="C2" s="7" t="s">
        <v>25</v>
      </c>
      <c r="D2" s="7">
        <v>1000</v>
      </c>
      <c r="E2" s="7" t="str">
        <f>IF(Solutions!D2&gt;=500,"High price","Standard price")</f>
        <v>High price</v>
      </c>
      <c r="F2" s="7">
        <v>30</v>
      </c>
      <c r="G2" s="7" t="s">
        <v>26</v>
      </c>
      <c r="H2" s="7" t="str">
        <f>LEFT(A2,2)</f>
        <v>28</v>
      </c>
      <c r="I2" s="7" t="str">
        <f>RIGHT(A2,2)</f>
        <v>US</v>
      </c>
      <c r="J2" s="7" t="str">
        <f>MID(A2,4,3)</f>
        <v>JAN</v>
      </c>
      <c r="L2" s="10" t="s">
        <v>111</v>
      </c>
      <c r="M2" s="10" t="s">
        <v>110</v>
      </c>
      <c r="N2" s="10" t="s">
        <v>112</v>
      </c>
    </row>
    <row r="3" spans="1:14" x14ac:dyDescent="0.25">
      <c r="A3" s="8" t="s">
        <v>27</v>
      </c>
      <c r="B3" s="8" t="s">
        <v>28</v>
      </c>
      <c r="C3" s="8" t="s">
        <v>29</v>
      </c>
      <c r="D3" s="8">
        <v>80</v>
      </c>
      <c r="E3" s="7" t="str">
        <f>IF(Solutions!D3&gt;=500,"High price","Standard price")</f>
        <v>Standard price</v>
      </c>
      <c r="F3" s="8">
        <v>15</v>
      </c>
      <c r="G3" s="8" t="s">
        <v>30</v>
      </c>
      <c r="H3" s="7" t="str">
        <f t="shared" ref="H3:H35" si="0">LEFT(A3,2)</f>
        <v>15</v>
      </c>
      <c r="I3" s="7" t="str">
        <f t="shared" ref="I3:I35" si="1">RIGHT(A3,2)</f>
        <v>US</v>
      </c>
      <c r="J3" s="7" t="str">
        <f t="shared" ref="J3:J35" si="2">MID(A3,4,3)</f>
        <v>FEB</v>
      </c>
      <c r="L3">
        <v>1</v>
      </c>
      <c r="M3" t="s">
        <v>113</v>
      </c>
      <c r="N3">
        <f>SUM(D2:D35)</f>
        <v>10100</v>
      </c>
    </row>
    <row r="4" spans="1:14" x14ac:dyDescent="0.25">
      <c r="A4" s="7" t="s">
        <v>31</v>
      </c>
      <c r="B4" s="7" t="s">
        <v>32</v>
      </c>
      <c r="C4" s="7" t="s">
        <v>33</v>
      </c>
      <c r="D4" s="7">
        <v>130</v>
      </c>
      <c r="E4" s="7" t="str">
        <f>IF(Solutions!D4&gt;=500,"High price","Standard price")</f>
        <v>Standard price</v>
      </c>
      <c r="F4" s="7">
        <v>40</v>
      </c>
      <c r="G4" s="7" t="s">
        <v>34</v>
      </c>
      <c r="H4" s="7" t="str">
        <f t="shared" si="0"/>
        <v>03</v>
      </c>
      <c r="I4" s="7" t="str">
        <f t="shared" si="1"/>
        <v>US</v>
      </c>
      <c r="J4" s="7" t="str">
        <f t="shared" si="2"/>
        <v>MAR</v>
      </c>
      <c r="M4" t="s">
        <v>114</v>
      </c>
      <c r="N4">
        <f>COUNTA(B2:B35)</f>
        <v>34</v>
      </c>
    </row>
    <row r="5" spans="1:14" x14ac:dyDescent="0.25">
      <c r="A5" s="8" t="s">
        <v>35</v>
      </c>
      <c r="B5" s="8" t="s">
        <v>36</v>
      </c>
      <c r="C5" s="8" t="s">
        <v>37</v>
      </c>
      <c r="D5" s="8">
        <v>900</v>
      </c>
      <c r="E5" s="7" t="str">
        <f>IF(Solutions!D5&gt;=500,"High price","Standard price")</f>
        <v>High price</v>
      </c>
      <c r="F5" s="8">
        <v>25</v>
      </c>
      <c r="G5" s="8" t="s">
        <v>26</v>
      </c>
      <c r="H5" s="7" t="str">
        <f t="shared" si="0"/>
        <v>11</v>
      </c>
      <c r="I5" s="7" t="str">
        <f t="shared" si="1"/>
        <v>US</v>
      </c>
      <c r="J5" s="7" t="str">
        <f t="shared" si="2"/>
        <v>APR</v>
      </c>
      <c r="M5" t="s">
        <v>115</v>
      </c>
      <c r="N5">
        <f>AVERAGE(D2:D35)</f>
        <v>297.05882352941177</v>
      </c>
    </row>
    <row r="6" spans="1:14" x14ac:dyDescent="0.25">
      <c r="A6" s="7" t="s">
        <v>38</v>
      </c>
      <c r="B6" s="7" t="s">
        <v>39</v>
      </c>
      <c r="C6" s="7" t="s">
        <v>40</v>
      </c>
      <c r="D6" s="7">
        <v>70</v>
      </c>
      <c r="E6" s="7" t="str">
        <f>IF(Solutions!D6&gt;=500,"High price","Standard price")</f>
        <v>Standard price</v>
      </c>
      <c r="F6" s="7">
        <v>20</v>
      </c>
      <c r="G6" s="7" t="s">
        <v>41</v>
      </c>
      <c r="H6" s="7" t="str">
        <f t="shared" si="0"/>
        <v>22</v>
      </c>
      <c r="I6" s="7" t="str">
        <f t="shared" si="1"/>
        <v>US</v>
      </c>
      <c r="J6" s="7" t="str">
        <f t="shared" si="2"/>
        <v>MAY</v>
      </c>
    </row>
    <row r="7" spans="1:14" x14ac:dyDescent="0.25">
      <c r="A7" s="8" t="s">
        <v>42</v>
      </c>
      <c r="B7" s="8" t="s">
        <v>43</v>
      </c>
      <c r="C7" s="8" t="s">
        <v>44</v>
      </c>
      <c r="D7" s="8">
        <v>200</v>
      </c>
      <c r="E7" s="7" t="str">
        <f>IF(Solutions!D7&gt;=500,"High price","Standard price")</f>
        <v>Standard price</v>
      </c>
      <c r="F7" s="8">
        <v>45</v>
      </c>
      <c r="G7" s="8" t="s">
        <v>26</v>
      </c>
      <c r="H7" s="7" t="str">
        <f t="shared" si="0"/>
        <v>07</v>
      </c>
      <c r="I7" s="7" t="str">
        <f t="shared" si="1"/>
        <v>UK</v>
      </c>
      <c r="J7" s="7" t="str">
        <f t="shared" si="2"/>
        <v>JUN</v>
      </c>
      <c r="L7">
        <v>2</v>
      </c>
      <c r="M7" s="11" t="s">
        <v>116</v>
      </c>
      <c r="N7">
        <f>MIN(D2:D35)</f>
        <v>30</v>
      </c>
    </row>
    <row r="8" spans="1:14" x14ac:dyDescent="0.25">
      <c r="A8" s="7" t="s">
        <v>45</v>
      </c>
      <c r="B8" s="7" t="s">
        <v>46</v>
      </c>
      <c r="C8" s="7" t="s">
        <v>47</v>
      </c>
      <c r="D8" s="7">
        <v>30</v>
      </c>
      <c r="E8" s="7" t="str">
        <f>IF(Solutions!D8&gt;=500,"High price","Standard price")</f>
        <v>Standard price</v>
      </c>
      <c r="F8" s="7">
        <v>5</v>
      </c>
      <c r="G8" s="7" t="s">
        <v>30</v>
      </c>
      <c r="H8" s="7" t="str">
        <f t="shared" si="0"/>
        <v>19</v>
      </c>
      <c r="I8" s="7" t="str">
        <f t="shared" si="1"/>
        <v>UK</v>
      </c>
      <c r="J8" s="7" t="str">
        <f t="shared" si="2"/>
        <v>JUL</v>
      </c>
      <c r="M8" s="11" t="s">
        <v>117</v>
      </c>
      <c r="N8">
        <f>MAX(D2:D35)</f>
        <v>1000</v>
      </c>
    </row>
    <row r="9" spans="1:14" x14ac:dyDescent="0.25">
      <c r="A9" s="8" t="s">
        <v>48</v>
      </c>
      <c r="B9" s="8" t="s">
        <v>49</v>
      </c>
      <c r="C9" s="8" t="s">
        <v>50</v>
      </c>
      <c r="D9" s="8">
        <v>90</v>
      </c>
      <c r="E9" s="7" t="str">
        <f>IF(Solutions!D9&gt;=500,"High price","Standard price")</f>
        <v>Standard price</v>
      </c>
      <c r="F9" s="8">
        <v>35</v>
      </c>
      <c r="G9" s="8" t="s">
        <v>34</v>
      </c>
      <c r="H9" s="7" t="str">
        <f t="shared" si="0"/>
        <v>23</v>
      </c>
      <c r="I9" s="7" t="str">
        <f t="shared" si="1"/>
        <v>UK</v>
      </c>
      <c r="J9" s="7" t="str">
        <f t="shared" si="2"/>
        <v>AUG</v>
      </c>
    </row>
    <row r="10" spans="1:14" x14ac:dyDescent="0.25">
      <c r="A10" s="7" t="s">
        <v>51</v>
      </c>
      <c r="B10" s="7" t="s">
        <v>52</v>
      </c>
      <c r="C10" s="7" t="s">
        <v>53</v>
      </c>
      <c r="D10" s="7">
        <v>500</v>
      </c>
      <c r="E10" s="7" t="str">
        <f>IF(Solutions!D10&gt;=500,"High price","Standard price")</f>
        <v>High price</v>
      </c>
      <c r="F10" s="7">
        <v>50</v>
      </c>
      <c r="G10" s="7" t="s">
        <v>26</v>
      </c>
      <c r="H10" s="7" t="str">
        <f t="shared" si="0"/>
        <v>05</v>
      </c>
      <c r="I10" s="7" t="str">
        <f t="shared" si="1"/>
        <v>UK</v>
      </c>
      <c r="J10" s="7" t="str">
        <f t="shared" si="2"/>
        <v>SEP</v>
      </c>
      <c r="L10">
        <v>4</v>
      </c>
      <c r="M10" s="11" t="s">
        <v>119</v>
      </c>
      <c r="N10">
        <f>+SUMIF(Solutions!G2:G35,"Electronics",Solutions!D2:D35)</f>
        <v>8050</v>
      </c>
    </row>
    <row r="11" spans="1:14" x14ac:dyDescent="0.25">
      <c r="A11" s="8" t="s">
        <v>54</v>
      </c>
      <c r="B11" s="8" t="s">
        <v>55</v>
      </c>
      <c r="C11" s="8" t="s">
        <v>56</v>
      </c>
      <c r="D11" s="8">
        <v>130</v>
      </c>
      <c r="E11" s="7" t="str">
        <f>IF(Solutions!D11&gt;=500,"High price","Standard price")</f>
        <v>Standard price</v>
      </c>
      <c r="F11" s="8">
        <v>10</v>
      </c>
      <c r="G11" s="8" t="s">
        <v>41</v>
      </c>
      <c r="H11" s="7" t="str">
        <f t="shared" si="0"/>
        <v>14</v>
      </c>
      <c r="I11" s="7" t="str">
        <f t="shared" si="1"/>
        <v>UK</v>
      </c>
      <c r="J11" s="7" t="str">
        <f t="shared" si="2"/>
        <v>OCT</v>
      </c>
      <c r="M11" s="11" t="s">
        <v>120</v>
      </c>
      <c r="N11">
        <f>COUNTIF(D2:D35,"&lt;100")</f>
        <v>11</v>
      </c>
    </row>
    <row r="12" spans="1:14" x14ac:dyDescent="0.25">
      <c r="A12" s="7" t="s">
        <v>57</v>
      </c>
      <c r="B12" s="7" t="s">
        <v>24</v>
      </c>
      <c r="C12" s="7" t="s">
        <v>58</v>
      </c>
      <c r="D12" s="7">
        <v>950</v>
      </c>
      <c r="E12" s="7" t="str">
        <f>IF(Solutions!D12&gt;=500,"High price","Standard price")</f>
        <v>High price</v>
      </c>
      <c r="F12" s="7">
        <v>25</v>
      </c>
      <c r="G12" s="7" t="s">
        <v>26</v>
      </c>
      <c r="H12" s="7" t="str">
        <f t="shared" si="0"/>
        <v>17</v>
      </c>
      <c r="I12" s="7" t="str">
        <f t="shared" si="1"/>
        <v>IN</v>
      </c>
      <c r="J12" s="7" t="str">
        <f t="shared" si="2"/>
        <v>JUN</v>
      </c>
    </row>
    <row r="13" spans="1:14" x14ac:dyDescent="0.25">
      <c r="A13" s="8" t="s">
        <v>59</v>
      </c>
      <c r="B13" s="8" t="s">
        <v>28</v>
      </c>
      <c r="C13" s="8" t="s">
        <v>47</v>
      </c>
      <c r="D13" s="8">
        <v>90</v>
      </c>
      <c r="E13" s="7" t="str">
        <f>IF(Solutions!D13&gt;=500,"High price","Standard price")</f>
        <v>Standard price</v>
      </c>
      <c r="F13" s="8">
        <v>40</v>
      </c>
      <c r="G13" s="8" t="s">
        <v>30</v>
      </c>
      <c r="H13" s="7" t="str">
        <f t="shared" si="0"/>
        <v>25</v>
      </c>
      <c r="I13" s="7" t="str">
        <f t="shared" si="1"/>
        <v>AU</v>
      </c>
      <c r="J13" s="7" t="str">
        <f t="shared" si="2"/>
        <v>NOV</v>
      </c>
    </row>
    <row r="14" spans="1:14" x14ac:dyDescent="0.25">
      <c r="A14" s="7" t="s">
        <v>60</v>
      </c>
      <c r="B14" s="7" t="s">
        <v>32</v>
      </c>
      <c r="C14" s="7" t="s">
        <v>61</v>
      </c>
      <c r="D14" s="7">
        <v>120</v>
      </c>
      <c r="E14" s="7" t="str">
        <f>IF(Solutions!D14&gt;=500,"High price","Standard price")</f>
        <v>Standard price</v>
      </c>
      <c r="F14" s="7">
        <v>35</v>
      </c>
      <c r="G14" s="7" t="s">
        <v>34</v>
      </c>
      <c r="H14" s="7" t="str">
        <f t="shared" si="0"/>
        <v>08</v>
      </c>
      <c r="I14" s="7" t="str">
        <f t="shared" si="1"/>
        <v>DE</v>
      </c>
      <c r="J14" s="7" t="str">
        <f t="shared" si="2"/>
        <v>DEC</v>
      </c>
    </row>
    <row r="15" spans="1:14" x14ac:dyDescent="0.25">
      <c r="A15" s="8" t="s">
        <v>62</v>
      </c>
      <c r="B15" s="8" t="s">
        <v>63</v>
      </c>
      <c r="C15" s="8" t="s">
        <v>64</v>
      </c>
      <c r="D15" s="8">
        <v>150</v>
      </c>
      <c r="E15" s="7" t="str">
        <f>IF(Solutions!D15&gt;=500,"High price","Standard price")</f>
        <v>Standard price</v>
      </c>
      <c r="F15" s="8">
        <v>15</v>
      </c>
      <c r="G15" s="8" t="s">
        <v>26</v>
      </c>
      <c r="H15" s="7" t="str">
        <f t="shared" si="0"/>
        <v>18</v>
      </c>
      <c r="I15" s="7" t="str">
        <f t="shared" si="1"/>
        <v>CA</v>
      </c>
      <c r="J15" s="7" t="str">
        <f t="shared" si="2"/>
        <v>FEB</v>
      </c>
    </row>
    <row r="16" spans="1:14" x14ac:dyDescent="0.25">
      <c r="A16" s="7" t="s">
        <v>65</v>
      </c>
      <c r="B16" s="7" t="s">
        <v>43</v>
      </c>
      <c r="C16" s="7" t="s">
        <v>66</v>
      </c>
      <c r="D16" s="7">
        <v>250</v>
      </c>
      <c r="E16" s="7" t="str">
        <f>IF(Solutions!D16&gt;=500,"High price","Standard price")</f>
        <v>Standard price</v>
      </c>
      <c r="F16" s="7">
        <v>20</v>
      </c>
      <c r="G16" s="7" t="s">
        <v>26</v>
      </c>
      <c r="H16" s="7" t="str">
        <f t="shared" si="0"/>
        <v>16</v>
      </c>
      <c r="I16" s="7" t="str">
        <f t="shared" si="1"/>
        <v>ES</v>
      </c>
      <c r="J16" s="7" t="str">
        <f t="shared" si="2"/>
        <v>APR</v>
      </c>
    </row>
    <row r="17" spans="1:10" x14ac:dyDescent="0.25">
      <c r="A17" s="8" t="s">
        <v>67</v>
      </c>
      <c r="B17" s="8" t="s">
        <v>68</v>
      </c>
      <c r="C17" s="8" t="s">
        <v>69</v>
      </c>
      <c r="D17" s="8">
        <v>50</v>
      </c>
      <c r="E17" s="7" t="str">
        <f>IF(Solutions!D17&gt;=500,"High price","Standard price")</f>
        <v>Standard price</v>
      </c>
      <c r="F17" s="8">
        <v>35</v>
      </c>
      <c r="G17" s="8" t="s">
        <v>70</v>
      </c>
      <c r="H17" s="7" t="str">
        <f t="shared" si="0"/>
        <v>21</v>
      </c>
      <c r="I17" s="7" t="str">
        <f t="shared" si="1"/>
        <v>CA</v>
      </c>
      <c r="J17" s="7" t="str">
        <f t="shared" si="2"/>
        <v>AUG</v>
      </c>
    </row>
    <row r="18" spans="1:10" x14ac:dyDescent="0.25">
      <c r="A18" s="7" t="s">
        <v>71</v>
      </c>
      <c r="B18" s="7" t="s">
        <v>63</v>
      </c>
      <c r="C18" s="7" t="s">
        <v>72</v>
      </c>
      <c r="D18" s="7">
        <v>160</v>
      </c>
      <c r="E18" s="7" t="str">
        <f>IF(Solutions!D18&gt;=500,"High price","Standard price")</f>
        <v>Standard price</v>
      </c>
      <c r="F18" s="7">
        <v>15</v>
      </c>
      <c r="G18" s="7" t="s">
        <v>26</v>
      </c>
      <c r="H18" s="7" t="str">
        <f t="shared" si="0"/>
        <v>20</v>
      </c>
      <c r="I18" s="7" t="str">
        <f t="shared" si="1"/>
        <v>CN</v>
      </c>
      <c r="J18" s="7" t="str">
        <f t="shared" si="2"/>
        <v>AUG</v>
      </c>
    </row>
    <row r="19" spans="1:10" x14ac:dyDescent="0.25">
      <c r="A19" s="8" t="s">
        <v>73</v>
      </c>
      <c r="B19" s="8" t="s">
        <v>24</v>
      </c>
      <c r="C19" s="8" t="s">
        <v>74</v>
      </c>
      <c r="D19" s="8">
        <v>980</v>
      </c>
      <c r="E19" s="7" t="str">
        <f>IF(Solutions!D19&gt;=500,"High price","Standard price")</f>
        <v>High price</v>
      </c>
      <c r="F19" s="8">
        <v>10</v>
      </c>
      <c r="G19" s="8" t="s">
        <v>26</v>
      </c>
      <c r="H19" s="7" t="str">
        <f t="shared" si="0"/>
        <v>27</v>
      </c>
      <c r="I19" s="7" t="str">
        <f t="shared" si="1"/>
        <v>IT</v>
      </c>
      <c r="J19" s="7" t="str">
        <f t="shared" si="2"/>
        <v>JAN</v>
      </c>
    </row>
    <row r="20" spans="1:10" x14ac:dyDescent="0.25">
      <c r="A20" s="7" t="s">
        <v>75</v>
      </c>
      <c r="B20" s="7" t="s">
        <v>76</v>
      </c>
      <c r="C20" s="7" t="s">
        <v>77</v>
      </c>
      <c r="D20" s="7">
        <v>150</v>
      </c>
      <c r="E20" s="7" t="str">
        <f>IF(Solutions!D20&gt;=500,"High price","Standard price")</f>
        <v>Standard price</v>
      </c>
      <c r="F20" s="7">
        <v>15</v>
      </c>
      <c r="G20" s="7" t="s">
        <v>30</v>
      </c>
      <c r="H20" s="7" t="str">
        <f t="shared" si="0"/>
        <v>01</v>
      </c>
      <c r="I20" s="7" t="str">
        <f t="shared" si="1"/>
        <v>UK</v>
      </c>
      <c r="J20" s="7" t="str">
        <f t="shared" si="2"/>
        <v>MAR</v>
      </c>
    </row>
    <row r="21" spans="1:10" x14ac:dyDescent="0.25">
      <c r="A21" s="8" t="s">
        <v>78</v>
      </c>
      <c r="B21" s="8" t="s">
        <v>79</v>
      </c>
      <c r="C21" s="8" t="s">
        <v>80</v>
      </c>
      <c r="D21" s="8">
        <v>200</v>
      </c>
      <c r="E21" s="7" t="str">
        <f>IF(Solutions!D21&gt;=500,"High price","Standard price")</f>
        <v>Standard price</v>
      </c>
      <c r="F21" s="8">
        <v>10</v>
      </c>
      <c r="G21" s="8" t="s">
        <v>41</v>
      </c>
      <c r="H21" s="7" t="str">
        <f t="shared" si="0"/>
        <v>14</v>
      </c>
      <c r="I21" s="7" t="str">
        <f t="shared" si="1"/>
        <v>US</v>
      </c>
      <c r="J21" s="7" t="str">
        <f t="shared" si="2"/>
        <v>AUG</v>
      </c>
    </row>
    <row r="22" spans="1:10" x14ac:dyDescent="0.25">
      <c r="A22" s="7" t="s">
        <v>81</v>
      </c>
      <c r="B22" s="7" t="s">
        <v>82</v>
      </c>
      <c r="C22" s="7" t="s">
        <v>83</v>
      </c>
      <c r="D22" s="7">
        <v>700</v>
      </c>
      <c r="E22" s="7" t="str">
        <f>IF(Solutions!D22&gt;=500,"High price","Standard price")</f>
        <v>High price</v>
      </c>
      <c r="F22" s="7">
        <v>50</v>
      </c>
      <c r="G22" s="7" t="s">
        <v>26</v>
      </c>
      <c r="H22" s="7" t="str">
        <f t="shared" si="0"/>
        <v>14</v>
      </c>
      <c r="I22" s="7" t="str">
        <f t="shared" si="1"/>
        <v>RU</v>
      </c>
      <c r="J22" s="7" t="str">
        <f t="shared" si="2"/>
        <v>MAY</v>
      </c>
    </row>
    <row r="23" spans="1:10" x14ac:dyDescent="0.25">
      <c r="A23" s="8" t="s">
        <v>84</v>
      </c>
      <c r="B23" s="8" t="s">
        <v>85</v>
      </c>
      <c r="C23" s="8" t="s">
        <v>86</v>
      </c>
      <c r="D23" s="8">
        <v>80</v>
      </c>
      <c r="E23" s="7" t="str">
        <f>IF(Solutions!D23&gt;=500,"High price","Standard price")</f>
        <v>Standard price</v>
      </c>
      <c r="F23" s="8">
        <v>20</v>
      </c>
      <c r="G23" s="8" t="s">
        <v>34</v>
      </c>
      <c r="H23" s="7" t="str">
        <f t="shared" si="0"/>
        <v>09</v>
      </c>
      <c r="I23" s="7" t="str">
        <f t="shared" si="1"/>
        <v>CA</v>
      </c>
      <c r="J23" s="7" t="str">
        <f t="shared" si="2"/>
        <v>JAN</v>
      </c>
    </row>
    <row r="24" spans="1:10" x14ac:dyDescent="0.25">
      <c r="A24" s="7" t="s">
        <v>87</v>
      </c>
      <c r="B24" s="7" t="s">
        <v>88</v>
      </c>
      <c r="C24" s="7" t="s">
        <v>89</v>
      </c>
      <c r="D24" s="7">
        <v>150</v>
      </c>
      <c r="E24" s="7" t="str">
        <f>IF(Solutions!D24&gt;=500,"High price","Standard price")</f>
        <v>Standard price</v>
      </c>
      <c r="F24" s="7">
        <v>30</v>
      </c>
      <c r="G24" s="7" t="s">
        <v>26</v>
      </c>
      <c r="H24" s="7" t="str">
        <f t="shared" si="0"/>
        <v>19</v>
      </c>
      <c r="I24" s="7" t="str">
        <f t="shared" si="1"/>
        <v>BR</v>
      </c>
      <c r="J24" s="7" t="str">
        <f t="shared" si="2"/>
        <v>JUL</v>
      </c>
    </row>
    <row r="25" spans="1:10" x14ac:dyDescent="0.25">
      <c r="A25" s="8" t="s">
        <v>67</v>
      </c>
      <c r="B25" s="8" t="s">
        <v>68</v>
      </c>
      <c r="C25" s="8" t="s">
        <v>69</v>
      </c>
      <c r="D25" s="8">
        <v>50</v>
      </c>
      <c r="E25" s="7" t="str">
        <f>IF(Solutions!D25&gt;=500,"High price","Standard price")</f>
        <v>Standard price</v>
      </c>
      <c r="F25" s="8">
        <v>35</v>
      </c>
      <c r="G25" s="8" t="s">
        <v>70</v>
      </c>
      <c r="H25" s="7" t="str">
        <f t="shared" si="0"/>
        <v>21</v>
      </c>
      <c r="I25" s="7" t="str">
        <f t="shared" si="1"/>
        <v>CA</v>
      </c>
      <c r="J25" s="7" t="str">
        <f t="shared" si="2"/>
        <v>AUG</v>
      </c>
    </row>
    <row r="26" spans="1:10" x14ac:dyDescent="0.25">
      <c r="A26" s="7" t="s">
        <v>90</v>
      </c>
      <c r="B26" s="7" t="s">
        <v>36</v>
      </c>
      <c r="C26" s="7" t="s">
        <v>91</v>
      </c>
      <c r="D26" s="7">
        <v>800</v>
      </c>
      <c r="E26" s="7" t="str">
        <f>IF(Solutions!D26&gt;=500,"High price","Standard price")</f>
        <v>High price</v>
      </c>
      <c r="F26" s="7">
        <v>45</v>
      </c>
      <c r="G26" s="7" t="s">
        <v>26</v>
      </c>
      <c r="H26" s="7" t="str">
        <f t="shared" si="0"/>
        <v>29</v>
      </c>
      <c r="I26" s="7" t="str">
        <f t="shared" si="1"/>
        <v>CA</v>
      </c>
      <c r="J26" s="7" t="str">
        <f t="shared" si="2"/>
        <v>SEP</v>
      </c>
    </row>
    <row r="27" spans="1:10" x14ac:dyDescent="0.25">
      <c r="A27" s="8" t="s">
        <v>92</v>
      </c>
      <c r="B27" s="8" t="s">
        <v>76</v>
      </c>
      <c r="C27" s="8" t="s">
        <v>93</v>
      </c>
      <c r="D27" s="8">
        <v>130</v>
      </c>
      <c r="E27" s="7" t="str">
        <f>IF(Solutions!D27&gt;=500,"High price","Standard price")</f>
        <v>Standard price</v>
      </c>
      <c r="F27" s="8">
        <v>25</v>
      </c>
      <c r="G27" s="8" t="s">
        <v>30</v>
      </c>
      <c r="H27" s="7" t="str">
        <f t="shared" si="0"/>
        <v>03</v>
      </c>
      <c r="I27" s="7" t="str">
        <f t="shared" si="1"/>
        <v>CA</v>
      </c>
      <c r="J27" s="7" t="str">
        <f t="shared" si="2"/>
        <v>JUN</v>
      </c>
    </row>
    <row r="28" spans="1:10" x14ac:dyDescent="0.25">
      <c r="A28" s="7" t="s">
        <v>94</v>
      </c>
      <c r="B28" s="7" t="s">
        <v>49</v>
      </c>
      <c r="C28" s="7" t="s">
        <v>95</v>
      </c>
      <c r="D28" s="7">
        <v>400</v>
      </c>
      <c r="E28" s="7" t="str">
        <f>IF(Solutions!D28&gt;=500,"High price","Standard price")</f>
        <v>Standard price</v>
      </c>
      <c r="F28" s="7">
        <v>40</v>
      </c>
      <c r="G28" s="7" t="s">
        <v>34</v>
      </c>
      <c r="H28" s="7" t="str">
        <f t="shared" si="0"/>
        <v>11</v>
      </c>
      <c r="I28" s="7" t="str">
        <f t="shared" si="1"/>
        <v>CA</v>
      </c>
      <c r="J28" s="7" t="str">
        <f t="shared" si="2"/>
        <v>JUL</v>
      </c>
    </row>
    <row r="29" spans="1:10" x14ac:dyDescent="0.25">
      <c r="A29" s="8" t="s">
        <v>65</v>
      </c>
      <c r="B29" s="8" t="s">
        <v>43</v>
      </c>
      <c r="C29" s="8" t="s">
        <v>66</v>
      </c>
      <c r="D29" s="8">
        <v>230</v>
      </c>
      <c r="E29" s="7" t="str">
        <f>IF(Solutions!D29&gt;=500,"High price","Standard price")</f>
        <v>Standard price</v>
      </c>
      <c r="F29" s="8">
        <v>20</v>
      </c>
      <c r="G29" s="8" t="s">
        <v>26</v>
      </c>
      <c r="H29" s="7" t="str">
        <f t="shared" si="0"/>
        <v>16</v>
      </c>
      <c r="I29" s="7" t="str">
        <f t="shared" si="1"/>
        <v>ES</v>
      </c>
      <c r="J29" s="7" t="str">
        <f t="shared" si="2"/>
        <v>APR</v>
      </c>
    </row>
    <row r="30" spans="1:10" x14ac:dyDescent="0.25">
      <c r="A30" s="7" t="s">
        <v>96</v>
      </c>
      <c r="B30" s="7" t="s">
        <v>97</v>
      </c>
      <c r="C30" s="7" t="s">
        <v>98</v>
      </c>
      <c r="D30" s="7">
        <v>60</v>
      </c>
      <c r="E30" s="7" t="str">
        <f>IF(Solutions!D30&gt;=500,"High price","Standard price")</f>
        <v>Standard price</v>
      </c>
      <c r="F30" s="7">
        <v>30</v>
      </c>
      <c r="G30" s="7" t="s">
        <v>30</v>
      </c>
      <c r="H30" s="7" t="str">
        <f t="shared" si="0"/>
        <v>07</v>
      </c>
      <c r="I30" s="7" t="str">
        <f t="shared" si="1"/>
        <v>CA</v>
      </c>
      <c r="J30" s="7" t="str">
        <f t="shared" si="2"/>
        <v>MAR</v>
      </c>
    </row>
    <row r="31" spans="1:10" x14ac:dyDescent="0.25">
      <c r="A31" s="8" t="s">
        <v>99</v>
      </c>
      <c r="B31" s="8" t="s">
        <v>100</v>
      </c>
      <c r="C31" s="8" t="s">
        <v>101</v>
      </c>
      <c r="D31" s="8">
        <v>40</v>
      </c>
      <c r="E31" s="7" t="str">
        <f>IF(Solutions!D31&gt;=500,"High price","Standard price")</f>
        <v>Standard price</v>
      </c>
      <c r="F31" s="8">
        <v>10</v>
      </c>
      <c r="G31" s="8" t="s">
        <v>34</v>
      </c>
      <c r="H31" s="7" t="str">
        <f t="shared" si="0"/>
        <v>13</v>
      </c>
      <c r="I31" s="7" t="str">
        <f t="shared" si="1"/>
        <v>CA</v>
      </c>
      <c r="J31" s="7" t="str">
        <f t="shared" si="2"/>
        <v>APR</v>
      </c>
    </row>
    <row r="32" spans="1:10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 t="str">
        <f>IF(Solutions!D32&gt;=500,"High price","Standard price")</f>
        <v>Standard price</v>
      </c>
      <c r="F32" s="7">
        <v>5</v>
      </c>
      <c r="G32" s="7" t="s">
        <v>26</v>
      </c>
      <c r="H32" s="7" t="str">
        <f t="shared" si="0"/>
        <v>24</v>
      </c>
      <c r="I32" s="7" t="str">
        <f t="shared" si="1"/>
        <v>CA</v>
      </c>
      <c r="J32" s="7" t="str">
        <f t="shared" si="2"/>
        <v>MAY</v>
      </c>
    </row>
    <row r="33" spans="1:10" x14ac:dyDescent="0.25">
      <c r="A33" s="8" t="s">
        <v>104</v>
      </c>
      <c r="B33" s="8" t="s">
        <v>105</v>
      </c>
      <c r="C33" s="8" t="s">
        <v>106</v>
      </c>
      <c r="D33" s="8">
        <v>50</v>
      </c>
      <c r="E33" s="7" t="str">
        <f>IF(Solutions!D33&gt;=500,"High price","Standard price")</f>
        <v>Standard price</v>
      </c>
      <c r="F33" s="8">
        <v>50</v>
      </c>
      <c r="G33" s="8" t="s">
        <v>30</v>
      </c>
      <c r="H33" s="7" t="str">
        <f t="shared" si="0"/>
        <v>02</v>
      </c>
      <c r="I33" s="7" t="str">
        <f t="shared" si="1"/>
        <v>CA</v>
      </c>
      <c r="J33" s="7" t="str">
        <f t="shared" si="2"/>
        <v>DEC</v>
      </c>
    </row>
    <row r="34" spans="1:10" x14ac:dyDescent="0.25">
      <c r="A34" s="7" t="s">
        <v>57</v>
      </c>
      <c r="B34" s="7" t="s">
        <v>24</v>
      </c>
      <c r="C34" s="7" t="s">
        <v>58</v>
      </c>
      <c r="D34" s="7">
        <v>950</v>
      </c>
      <c r="E34" s="7" t="str">
        <f>IF(Solutions!D34&gt;=500,"High price","Standard price")</f>
        <v>High price</v>
      </c>
      <c r="F34" s="7">
        <v>25</v>
      </c>
      <c r="G34" s="7" t="s">
        <v>26</v>
      </c>
      <c r="H34" s="7" t="str">
        <f t="shared" si="0"/>
        <v>17</v>
      </c>
      <c r="I34" s="7" t="str">
        <f t="shared" si="1"/>
        <v>IN</v>
      </c>
      <c r="J34" s="7" t="str">
        <f t="shared" si="2"/>
        <v>JUN</v>
      </c>
    </row>
    <row r="35" spans="1:10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7" t="str">
        <f>IF(Solutions!D35&gt;=500,"High price","Standard price")</f>
        <v>Standard price</v>
      </c>
      <c r="F35" s="8">
        <v>20</v>
      </c>
      <c r="G35" s="8" t="s">
        <v>70</v>
      </c>
      <c r="H35" s="7" t="str">
        <f t="shared" si="0"/>
        <v>09</v>
      </c>
      <c r="I35" s="7" t="str">
        <f t="shared" si="1"/>
        <v>FR</v>
      </c>
      <c r="J35" s="7" t="str">
        <f t="shared" si="2"/>
        <v>JUL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2026-09-27T10:48:06Z</dcterms:created>
  <dcterms:modified xsi:type="dcterms:W3CDTF">2026-09-27T10:48:06Z</dcterms:modified>
</cp:coreProperties>
</file>